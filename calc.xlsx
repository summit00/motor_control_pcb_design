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inn_\iCloudDrive\02_Projects_Lab\motor_bldc_esc_V1\"/>
    </mc:Choice>
  </mc:AlternateContent>
  <xr:revisionPtr revIDLastSave="0" documentId="13_ncr:1_{5AD5862A-7892-49B1-9204-8AA1117642A9}" xr6:coauthVersionLast="47" xr6:coauthVersionMax="47" xr10:uidLastSave="{00000000-0000-0000-0000-000000000000}"/>
  <bookViews>
    <workbookView xWindow="-38510" yWindow="-10850" windowWidth="38620" windowHeight="21100" activeTab="1" xr2:uid="{00000000-000D-0000-FFFF-FFFF00000000}"/>
  </bookViews>
  <sheets>
    <sheet name="LMR38020" sheetId="1" r:id="rId1"/>
    <sheet name="CurrentMe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2" l="1"/>
  <c r="G12" i="2"/>
  <c r="G15" i="2" s="1"/>
  <c r="G16" i="2" s="1"/>
  <c r="G17" i="2" s="1"/>
  <c r="G3" i="2"/>
  <c r="G6" i="2" s="1"/>
  <c r="G7" i="2" s="1"/>
  <c r="G8" i="2" s="1"/>
  <c r="F12" i="2"/>
  <c r="F13" i="2" s="1"/>
  <c r="F3" i="2"/>
  <c r="F4" i="2" s="1"/>
  <c r="F11" i="1"/>
  <c r="F10" i="1"/>
  <c r="F4" i="1"/>
  <c r="F5" i="1"/>
  <c r="F3" i="1"/>
  <c r="G14" i="2" l="1"/>
  <c r="G13" i="2"/>
  <c r="G4" i="2"/>
  <c r="G5" i="2"/>
  <c r="F15" i="2"/>
  <c r="F17" i="2" s="1"/>
  <c r="F6" i="2"/>
  <c r="F7" i="2" s="1"/>
  <c r="F8" i="2" s="1"/>
  <c r="F14" i="2"/>
  <c r="F5" i="2"/>
</calcChain>
</file>

<file path=xl/sharedStrings.xml><?xml version="1.0" encoding="utf-8"?>
<sst xmlns="http://schemas.openxmlformats.org/spreadsheetml/2006/main" count="52" uniqueCount="38">
  <si>
    <t>Vin_min [V]</t>
  </si>
  <si>
    <t>Vin_max [V]</t>
  </si>
  <si>
    <t>Iout [A]</t>
  </si>
  <si>
    <t>Vout [V]</t>
  </si>
  <si>
    <t>Switching frequency [Hz]</t>
  </si>
  <si>
    <t>RFBT</t>
  </si>
  <si>
    <t>RFBB</t>
  </si>
  <si>
    <t>Vref</t>
  </si>
  <si>
    <t>L (Vmin)</t>
  </si>
  <si>
    <t>L (Vmax)</t>
  </si>
  <si>
    <t>Current Ripple ratio</t>
  </si>
  <si>
    <t>Cout</t>
  </si>
  <si>
    <t>Cin</t>
  </si>
  <si>
    <t>22uF+100nF</t>
  </si>
  <si>
    <t>recommended per datasheet</t>
  </si>
  <si>
    <t>4,7uF+100nF</t>
  </si>
  <si>
    <t>Cboot</t>
  </si>
  <si>
    <t>100nF</t>
  </si>
  <si>
    <t>rated for at least 16V</t>
  </si>
  <si>
    <t>Rent</t>
  </si>
  <si>
    <t>Renb</t>
  </si>
  <si>
    <t>Von</t>
  </si>
  <si>
    <t>Ven-H</t>
  </si>
  <si>
    <t>Voff</t>
  </si>
  <si>
    <t>Ven-L</t>
  </si>
  <si>
    <t>Uref</t>
  </si>
  <si>
    <t>Shunt</t>
  </si>
  <si>
    <t>Current Fullsclae</t>
  </si>
  <si>
    <t>ADC Bits</t>
  </si>
  <si>
    <t>current resolution</t>
  </si>
  <si>
    <t>Shunt power</t>
  </si>
  <si>
    <t>OpAmpGain (5, 10, 20, 40)</t>
  </si>
  <si>
    <t>Low Current Version</t>
  </si>
  <si>
    <t>High Current Version</t>
  </si>
  <si>
    <t>Usable Current (Peak)</t>
  </si>
  <si>
    <t>Overcurrent (Peak)</t>
  </si>
  <si>
    <t>Usable Current (RMS)</t>
  </si>
  <si>
    <t>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</si>
</sst>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1" xfId="1" applyFont="1"/>
    <xf numFmtId="0" fontId="2" fillId="0" borderId="0" xfId="0" applyFont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3"/>
  <sheetViews>
    <sheetView zoomScale="99" zoomScaleNormal="190" workbookViewId="0">
      <selection activeCell="F4" sqref="F4"/>
    </sheetView>
  </sheetViews>
  <sheetFormatPr defaultRowHeight="14.5" x14ac:dyDescent="0.35"/>
  <cols>
    <col min="1" max="1" width="30.26953125" customWidth="1"/>
    <col min="6" max="6" width="15.26953125" customWidth="1"/>
    <col min="7" max="7" width="31.90625" customWidth="1"/>
  </cols>
  <sheetData>
    <row r="3" spans="1:7" x14ac:dyDescent="0.35">
      <c r="A3" t="s">
        <v>0</v>
      </c>
      <c r="B3">
        <v>10</v>
      </c>
      <c r="E3" t="s">
        <v>6</v>
      </c>
      <c r="F3">
        <f>B8/((B6/B9)-1)</f>
        <v>25000</v>
      </c>
    </row>
    <row r="4" spans="1:7" x14ac:dyDescent="0.35">
      <c r="A4" t="s">
        <v>1</v>
      </c>
      <c r="B4">
        <v>60</v>
      </c>
      <c r="E4" t="s">
        <v>8</v>
      </c>
      <c r="F4">
        <f>((B3-B6)*B6)/(B7*B10*B5*B3)</f>
        <v>1.388888888888889E-5</v>
      </c>
    </row>
    <row r="5" spans="1:7" x14ac:dyDescent="0.35">
      <c r="A5" t="s">
        <v>2</v>
      </c>
      <c r="B5">
        <v>1.5</v>
      </c>
      <c r="E5" t="s">
        <v>9</v>
      </c>
      <c r="F5">
        <f>((B4-B6)*B6)/(B7*B10*B5*B4)</f>
        <v>2.5462962962962961E-5</v>
      </c>
    </row>
    <row r="6" spans="1:7" x14ac:dyDescent="0.35">
      <c r="A6" t="s">
        <v>3</v>
      </c>
      <c r="B6">
        <v>5</v>
      </c>
      <c r="E6" t="s">
        <v>11</v>
      </c>
      <c r="F6" t="s">
        <v>13</v>
      </c>
      <c r="G6" t="s">
        <v>14</v>
      </c>
    </row>
    <row r="7" spans="1:7" x14ac:dyDescent="0.35">
      <c r="A7" t="s">
        <v>4</v>
      </c>
      <c r="B7">
        <v>400000</v>
      </c>
      <c r="E7" t="s">
        <v>12</v>
      </c>
      <c r="F7" t="s">
        <v>15</v>
      </c>
      <c r="G7" t="s">
        <v>14</v>
      </c>
    </row>
    <row r="8" spans="1:7" x14ac:dyDescent="0.35">
      <c r="A8" t="s">
        <v>5</v>
      </c>
      <c r="B8">
        <v>100000</v>
      </c>
      <c r="E8" t="s">
        <v>16</v>
      </c>
      <c r="F8" t="s">
        <v>17</v>
      </c>
      <c r="G8" t="s">
        <v>18</v>
      </c>
    </row>
    <row r="9" spans="1:7" x14ac:dyDescent="0.35">
      <c r="A9" t="s">
        <v>7</v>
      </c>
      <c r="B9">
        <v>1</v>
      </c>
      <c r="E9" t="s">
        <v>19</v>
      </c>
      <c r="F9">
        <v>10000</v>
      </c>
    </row>
    <row r="10" spans="1:7" x14ac:dyDescent="0.35">
      <c r="A10" t="s">
        <v>10</v>
      </c>
      <c r="B10">
        <v>0.3</v>
      </c>
      <c r="E10" t="s">
        <v>20</v>
      </c>
      <c r="F10">
        <f>F9*((B11/B12)-1)</f>
        <v>78000</v>
      </c>
      <c r="G10">
        <v>78700</v>
      </c>
    </row>
    <row r="11" spans="1:7" x14ac:dyDescent="0.35">
      <c r="A11" t="s">
        <v>21</v>
      </c>
      <c r="B11">
        <v>11</v>
      </c>
      <c r="E11" t="s">
        <v>23</v>
      </c>
      <c r="F11">
        <f>B13*(B11/B12)</f>
        <v>9.6800000000000015</v>
      </c>
    </row>
    <row r="12" spans="1:7" x14ac:dyDescent="0.35">
      <c r="A12" t="s">
        <v>22</v>
      </c>
      <c r="B12">
        <v>1.25</v>
      </c>
    </row>
    <row r="13" spans="1:7" x14ac:dyDescent="0.35">
      <c r="A13" t="s">
        <v>24</v>
      </c>
      <c r="B13">
        <v>1.1000000000000001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BC14-7DAE-4F08-A3A1-6D515E6A7CAC}">
  <dimension ref="A1:G17"/>
  <sheetViews>
    <sheetView tabSelected="1" zoomScale="190" zoomScaleNormal="190" workbookViewId="0">
      <selection activeCell="E23" sqref="E23"/>
    </sheetView>
  </sheetViews>
  <sheetFormatPr defaultRowHeight="14.5" x14ac:dyDescent="0.35"/>
  <cols>
    <col min="1" max="1" width="22.90625" bestFit="1" customWidth="1"/>
    <col min="3" max="3" width="9.90625" bestFit="1" customWidth="1"/>
    <col min="5" max="5" width="19.6328125" customWidth="1"/>
  </cols>
  <sheetData>
    <row r="1" spans="1:7" x14ac:dyDescent="0.35">
      <c r="A1" s="2" t="s">
        <v>32</v>
      </c>
      <c r="B1" s="2"/>
      <c r="C1" s="2"/>
      <c r="D1" s="2"/>
      <c r="E1" s="2"/>
      <c r="F1" s="2"/>
    </row>
    <row r="2" spans="1:7" x14ac:dyDescent="0.35">
      <c r="A2" s="1"/>
      <c r="B2" s="1"/>
      <c r="C2" s="4" t="s">
        <v>37</v>
      </c>
      <c r="D2" s="1"/>
      <c r="E2" s="1"/>
      <c r="F2" s="1"/>
      <c r="G2" s="4" t="s">
        <v>37</v>
      </c>
    </row>
    <row r="3" spans="1:7" x14ac:dyDescent="0.35">
      <c r="A3" t="s">
        <v>25</v>
      </c>
      <c r="B3">
        <v>3.3</v>
      </c>
      <c r="C3">
        <v>3.3</v>
      </c>
      <c r="E3" t="s">
        <v>27</v>
      </c>
      <c r="F3">
        <f>(B3/2)/B4/B5</f>
        <v>11</v>
      </c>
      <c r="G3">
        <f>(C3/2)/C4/C5</f>
        <v>5.5</v>
      </c>
    </row>
    <row r="4" spans="1:7" x14ac:dyDescent="0.35">
      <c r="A4" t="s">
        <v>26</v>
      </c>
      <c r="B4">
        <v>1.4999999999999999E-2</v>
      </c>
      <c r="C4">
        <v>1.4999999999999999E-2</v>
      </c>
      <c r="E4" t="s">
        <v>29</v>
      </c>
      <c r="F4">
        <f>F3*2/(2^B6)</f>
        <v>5.37109375E-3</v>
      </c>
      <c r="G4">
        <f>G3*2/(2^C6)</f>
        <v>2.685546875E-3</v>
      </c>
    </row>
    <row r="5" spans="1:7" x14ac:dyDescent="0.35">
      <c r="A5" t="s">
        <v>31</v>
      </c>
      <c r="B5">
        <v>10</v>
      </c>
      <c r="C5">
        <v>20</v>
      </c>
      <c r="E5" t="s">
        <v>30</v>
      </c>
      <c r="F5" s="3">
        <f>F3^2*B4</f>
        <v>1.8149999999999999</v>
      </c>
      <c r="G5" s="3">
        <f>G3^2*C4</f>
        <v>0.45374999999999999</v>
      </c>
    </row>
    <row r="6" spans="1:7" x14ac:dyDescent="0.35">
      <c r="A6" t="s">
        <v>28</v>
      </c>
      <c r="B6">
        <v>12</v>
      </c>
      <c r="C6">
        <v>12</v>
      </c>
      <c r="E6" t="s">
        <v>35</v>
      </c>
      <c r="F6">
        <f>F3*0.96</f>
        <v>10.559999999999999</v>
      </c>
      <c r="G6">
        <f>G3*0.96</f>
        <v>5.2799999999999994</v>
      </c>
    </row>
    <row r="7" spans="1:7" x14ac:dyDescent="0.35">
      <c r="E7" t="s">
        <v>34</v>
      </c>
      <c r="F7">
        <f>F6*0.9</f>
        <v>9.5039999999999996</v>
      </c>
      <c r="G7">
        <f>G6*0.9</f>
        <v>4.7519999999999998</v>
      </c>
    </row>
    <row r="8" spans="1:7" x14ac:dyDescent="0.35">
      <c r="E8" t="s">
        <v>36</v>
      </c>
      <c r="F8">
        <f>F7/SQRT(2)</f>
        <v>6.720342848396947</v>
      </c>
      <c r="G8">
        <f>G7/SQRT(2)</f>
        <v>3.3601714241984735</v>
      </c>
    </row>
    <row r="10" spans="1:7" x14ac:dyDescent="0.35">
      <c r="A10" s="2" t="s">
        <v>33</v>
      </c>
      <c r="B10" s="2"/>
      <c r="C10" s="2"/>
      <c r="D10" s="2"/>
      <c r="E10" s="2"/>
      <c r="F10" s="2"/>
    </row>
    <row r="11" spans="1:7" x14ac:dyDescent="0.35">
      <c r="A11" s="1"/>
      <c r="B11" s="1"/>
      <c r="C11" s="4" t="s">
        <v>37</v>
      </c>
      <c r="D11" s="1"/>
      <c r="E11" s="1"/>
      <c r="F11" s="1"/>
      <c r="G11" s="4" t="s">
        <v>37</v>
      </c>
    </row>
    <row r="12" spans="1:7" x14ac:dyDescent="0.35">
      <c r="A12" t="s">
        <v>25</v>
      </c>
      <c r="B12">
        <v>3.3</v>
      </c>
      <c r="C12">
        <v>3.3</v>
      </c>
      <c r="E12" t="s">
        <v>27</v>
      </c>
      <c r="F12">
        <f>(B12/2)/B13/B14</f>
        <v>27.5</v>
      </c>
      <c r="G12">
        <f>(C12/2)/C13/C14</f>
        <v>13.75</v>
      </c>
    </row>
    <row r="13" spans="1:7" x14ac:dyDescent="0.35">
      <c r="A13" t="s">
        <v>26</v>
      </c>
      <c r="B13">
        <v>3.0000000000000001E-3</v>
      </c>
      <c r="C13">
        <v>3.0000000000000001E-3</v>
      </c>
      <c r="E13" t="s">
        <v>29</v>
      </c>
      <c r="F13">
        <f>F12*2/(2^B15)</f>
        <v>1.3427734375E-2</v>
      </c>
      <c r="G13">
        <f>G12*2/(2^C15)</f>
        <v>6.7138671875E-3</v>
      </c>
    </row>
    <row r="14" spans="1:7" x14ac:dyDescent="0.35">
      <c r="A14" t="s">
        <v>31</v>
      </c>
      <c r="B14">
        <v>20</v>
      </c>
      <c r="C14">
        <v>40</v>
      </c>
      <c r="E14" t="s">
        <v>30</v>
      </c>
      <c r="F14" s="3">
        <f>F12^2*B13</f>
        <v>2.2687500000000003</v>
      </c>
      <c r="G14" s="3">
        <f>G12^2*C13</f>
        <v>0.56718750000000007</v>
      </c>
    </row>
    <row r="15" spans="1:7" x14ac:dyDescent="0.35">
      <c r="A15" t="s">
        <v>28</v>
      </c>
      <c r="B15">
        <v>12</v>
      </c>
      <c r="C15">
        <v>12</v>
      </c>
      <c r="E15" t="s">
        <v>35</v>
      </c>
      <c r="F15">
        <f>F12*0.96</f>
        <v>26.4</v>
      </c>
      <c r="G15">
        <f>G12*0.96</f>
        <v>13.2</v>
      </c>
    </row>
    <row r="16" spans="1:7" x14ac:dyDescent="0.35">
      <c r="E16" t="s">
        <v>34</v>
      </c>
      <c r="F16">
        <f>F15*0.9</f>
        <v>23.759999999999998</v>
      </c>
      <c r="G16">
        <f>G15*0.9</f>
        <v>11.879999999999999</v>
      </c>
    </row>
    <row r="17" spans="5:7" x14ac:dyDescent="0.35">
      <c r="E17" t="s">
        <v>36</v>
      </c>
      <c r="F17">
        <f>F16/SQRT(2)</f>
        <v>16.800857120992365</v>
      </c>
      <c r="G17">
        <f>G16/SQRT(2)</f>
        <v>8.4004285604961826</v>
      </c>
    </row>
  </sheetData>
  <mergeCells count="2">
    <mergeCell ref="A1:F1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LMR38020</vt:lpstr>
      <vt:lpstr>CurrentMeas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Springer</dc:creator>
  <cp:lastModifiedBy>Finn Springer</cp:lastModifiedBy>
  <dcterms:created xsi:type="dcterms:W3CDTF">2015-06-05T18:19:34Z</dcterms:created>
  <dcterms:modified xsi:type="dcterms:W3CDTF">2026-07-17T18:28:33Z</dcterms:modified>
</cp:coreProperties>
</file>